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_rels/workbook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charts/chart1.xml" ContentType="application/vnd.openxmlformats-officedocument.drawingml.char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  <Override PartName="/xl/worksheets/sheet5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Лист1" sheetId="1" state="visible" r:id="rId3"/>
    <sheet name="Лист2" sheetId="2" state="visible" r:id="rId4"/>
    <sheet name="Лист3" sheetId="3" state="visible" r:id="rId5"/>
    <sheet name="Лист4" sheetId="4" state="visible" r:id="rId6"/>
    <sheet name="Лист5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<sst xmlns="http://schemas.openxmlformats.org/spreadsheetml/2006/main" count="21" uniqueCount="19">
  <si>
    <t xml:space="preserve">максимальный показатель </t>
  </si>
  <si>
    <t xml:space="preserve">сумма </t>
  </si>
  <si>
    <r>
      <rPr>
        <sz val="12"/>
        <rFont val="XO Thames"/>
        <family val="0"/>
        <charset val="1"/>
      </rPr>
      <t xml:space="preserve">        </t>
    </r>
    <r>
      <rPr>
        <b val="true"/>
        <sz val="12"/>
        <rFont val="XO Thames"/>
        <family val="0"/>
        <charset val="1"/>
      </rPr>
      <t xml:space="preserve">  максимальный показатель </t>
    </r>
  </si>
  <si>
    <t xml:space="preserve">сумма для 2 </t>
  </si>
  <si>
    <t xml:space="preserve">сумма для 3 </t>
  </si>
  <si>
    <t xml:space="preserve">статистическая функция </t>
  </si>
  <si>
    <t xml:space="preserve">для А (лист 3)</t>
  </si>
  <si>
    <r>
      <rPr>
        <b val="true"/>
        <sz val="12"/>
        <rFont val="XO Thames"/>
        <family val="0"/>
        <charset val="1"/>
      </rPr>
      <t xml:space="preserve">для В ( лист 3</t>
    </r>
    <r>
      <rPr>
        <sz val="12"/>
        <rFont val="XO Thames"/>
        <family val="0"/>
        <charset val="1"/>
      </rPr>
      <t xml:space="preserve">)</t>
    </r>
  </si>
  <si>
    <t xml:space="preserve">для С ( лист 3) </t>
  </si>
  <si>
    <t xml:space="preserve">среднее значение </t>
  </si>
  <si>
    <t xml:space="preserve">максимальное значение </t>
  </si>
  <si>
    <t xml:space="preserve">минимальное значение </t>
  </si>
  <si>
    <t xml:space="preserve">медиана </t>
  </si>
  <si>
    <t xml:space="preserve">мода </t>
  </si>
  <si>
    <t xml:space="preserve">дисперсия </t>
  </si>
  <si>
    <t xml:space="preserve">колледж 1 </t>
  </si>
  <si>
    <t xml:space="preserve">колледж 2 </t>
  </si>
  <si>
    <t xml:space="preserve">колледж 3 </t>
  </si>
  <si>
    <t xml:space="preserve">колледж 4 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</si>
</sst>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2"/>
      <name val="XO Thames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XO Thames"/>
      <family val="0"/>
      <charset val="1"/>
    </font>
    <font>
      <b val="true"/>
      <sz val="18"/>
      <color rgb="FF000000"/>
      <name val="XO Thames"/>
      <family val="2"/>
    </font>
    <font>
      <sz val="10"/>
      <color rgb="FF000000"/>
      <name val="XO Thames"/>
      <family val="2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C0504D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F81BD"/>
      <rgbColor rgb="FF4BACC6"/>
      <rgbColor rgb="FF9BBB59"/>
      <rgbColor rgb="FFFFCC00"/>
      <rgbColor rgb="FFFF9900"/>
      <rgbColor rgb="FFFF6600"/>
      <rgbColor rgb="FF8064A2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XO Thames"/>
              </a:defRPr>
            </a:pPr>
            <a:r>
              <a:rPr b="1" sz="1800" spc="-1" strike="noStrike">
                <a:solidFill>
                  <a:srgbClr val="000000"/>
                </a:solidFill>
                <a:latin typeface="XO Thames"/>
              </a:rPr>
              <a:t>Заглавие диаграммы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Лист5!A1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4f81bd"/>
            </a:solidFill>
            <a:ln w="38160">
              <a:solidFill>
                <a:srgbClr val="4f81bd"/>
              </a:solidFill>
              <a:round/>
            </a:ln>
          </c:spPr>
          <c:marker>
            <c:symbol val="circle"/>
            <c:size val="5"/>
            <c:spPr>
              <a:solidFill>
                <a:srgbClr val="4f81bd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Лист5!B1:H1</c:f>
              <c:numCache>
                <c:formatCode>General</c:formatCode>
                <c:ptCount val="7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  <c:pt idx="5">
                  <c:v>2026</c:v>
                </c:pt>
                <c:pt idx="6">
                  <c:v>2027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Лист5!A2</c:f>
              <c:strCache>
                <c:ptCount val="1"/>
                <c:pt idx="0">
                  <c:v>колледж 1 </c:v>
                </c:pt>
              </c:strCache>
            </c:strRef>
          </c:tx>
          <c:spPr>
            <a:solidFill>
              <a:srgbClr val="c0504d"/>
            </a:solidFill>
            <a:ln w="38160">
              <a:solidFill>
                <a:srgbClr val="c0504d"/>
              </a:solidFill>
              <a:round/>
            </a:ln>
          </c:spPr>
          <c:marker>
            <c:symbol val="circle"/>
            <c:size val="5"/>
            <c:spPr>
              <a:solidFill>
                <a:srgbClr val="c0504d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Лист5!B2:H2</c:f>
              <c:numCache>
                <c:formatCode>General</c:formatCode>
                <c:ptCount val="7"/>
                <c:pt idx="0">
                  <c:v>1510000</c:v>
                </c:pt>
                <c:pt idx="1">
                  <c:v>2236476</c:v>
                </c:pt>
                <c:pt idx="2">
                  <c:v>1934765</c:v>
                </c:pt>
                <c:pt idx="3">
                  <c:v>4543534</c:v>
                </c:pt>
                <c:pt idx="4">
                  <c:v>2348887</c:v>
                </c:pt>
                <c:pt idx="5">
                  <c:v>1170004</c:v>
                </c:pt>
                <c:pt idx="6">
                  <c:v>2344598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Лист5!A3</c:f>
              <c:strCache>
                <c:ptCount val="1"/>
                <c:pt idx="0">
                  <c:v>колледж 2 </c:v>
                </c:pt>
              </c:strCache>
            </c:strRef>
          </c:tx>
          <c:spPr>
            <a:solidFill>
              <a:srgbClr val="9bbb59"/>
            </a:solidFill>
            <a:ln w="38160">
              <a:solidFill>
                <a:srgbClr val="9bbb59"/>
              </a:solidFill>
              <a:round/>
            </a:ln>
          </c:spPr>
          <c:marker>
            <c:symbol val="circle"/>
            <c:size val="5"/>
            <c:spPr>
              <a:solidFill>
                <a:srgbClr val="9bbb59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Лист5!B3:H3</c:f>
              <c:numCache>
                <c:formatCode>General</c:formatCode>
                <c:ptCount val="7"/>
                <c:pt idx="0">
                  <c:v>237800</c:v>
                </c:pt>
                <c:pt idx="1">
                  <c:v>732647</c:v>
                </c:pt>
                <c:pt idx="2">
                  <c:v>567672</c:v>
                </c:pt>
                <c:pt idx="3">
                  <c:v>234234</c:v>
                </c:pt>
                <c:pt idx="4">
                  <c:v>32317</c:v>
                </c:pt>
                <c:pt idx="5">
                  <c:v>634423</c:v>
                </c:pt>
                <c:pt idx="6">
                  <c:v>235455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Лист5!A4</c:f>
              <c:strCache>
                <c:ptCount val="1"/>
                <c:pt idx="0">
                  <c:v>колледж 3 </c:v>
                </c:pt>
              </c:strCache>
            </c:strRef>
          </c:tx>
          <c:spPr>
            <a:solidFill>
              <a:srgbClr val="8064a2"/>
            </a:solidFill>
            <a:ln w="38160">
              <a:solidFill>
                <a:srgbClr val="8064a2"/>
              </a:solidFill>
              <a:round/>
            </a:ln>
          </c:spPr>
          <c:marker>
            <c:symbol val="circle"/>
            <c:size val="5"/>
            <c:spPr>
              <a:solidFill>
                <a:srgbClr val="8064a2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Лист5!B4:H4</c:f>
              <c:numCache>
                <c:formatCode>General</c:formatCode>
                <c:ptCount val="7"/>
                <c:pt idx="0">
                  <c:v>3211400</c:v>
                </c:pt>
                <c:pt idx="1">
                  <c:v>4873837</c:v>
                </c:pt>
                <c:pt idx="2">
                  <c:v>36654654</c:v>
                </c:pt>
                <c:pt idx="3">
                  <c:v>3453453</c:v>
                </c:pt>
                <c:pt idx="4">
                  <c:v>5435323</c:v>
                </c:pt>
                <c:pt idx="5">
                  <c:v>4586959</c:v>
                </c:pt>
                <c:pt idx="6">
                  <c:v>8576885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Лист5!A5</c:f>
              <c:strCache>
                <c:ptCount val="1"/>
                <c:pt idx="0">
                  <c:v>колледж 4 </c:v>
                </c:pt>
              </c:strCache>
            </c:strRef>
          </c:tx>
          <c:spPr>
            <a:solidFill>
              <a:srgbClr val="4bacc6"/>
            </a:solidFill>
            <a:ln w="38160">
              <a:solidFill>
                <a:srgbClr val="4bacc6"/>
              </a:solidFill>
              <a:round/>
            </a:ln>
          </c:spPr>
          <c:marker>
            <c:symbol val="circle"/>
            <c:size val="5"/>
            <c:spPr>
              <a:solidFill>
                <a:srgbClr val="4bacc6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Лист5!B5:H5</c:f>
              <c:numCache>
                <c:formatCode>General</c:formatCode>
                <c:ptCount val="7"/>
                <c:pt idx="0">
                  <c:v>4961201</c:v>
                </c:pt>
                <c:pt idx="1">
                  <c:v>7844962</c:v>
                </c:pt>
                <c:pt idx="2">
                  <c:v>6159094</c:v>
                </c:pt>
                <c:pt idx="3">
                  <c:v>8233225</c:v>
                </c:pt>
                <c:pt idx="4">
                  <c:v>8109432</c:v>
                </c:pt>
                <c:pt idx="5">
                  <c:v>6393392</c:v>
                </c:pt>
                <c:pt idx="6">
                  <c:v>11158945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51930813"/>
        <c:axId val="26088605"/>
      </c:lineChart>
      <c:catAx>
        <c:axId val="51930813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648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XO Thames"/>
              </a:defRPr>
            </a:pPr>
          </a:p>
        </c:txPr>
        <c:crossAx val="26088605"/>
        <c:crosses val="autoZero"/>
        <c:auto val="1"/>
        <c:lblAlgn val="ctr"/>
        <c:lblOffset val="100"/>
        <c:noMultiLvlLbl val="0"/>
      </c:catAx>
      <c:valAx>
        <c:axId val="26088605"/>
        <c:scaling>
          <c:orientation val="minMax"/>
        </c:scaling>
        <c:delete val="0"/>
        <c:axPos val="l"/>
        <c:majorGridlines>
          <c:spPr>
            <a:ln w="1260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out"/>
        <c:minorTickMark val="none"/>
        <c:tickLblPos val="nextTo"/>
        <c:spPr>
          <a:ln w="648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XO Thames"/>
              </a:defRPr>
            </a:pPr>
          </a:p>
        </c:txPr>
        <c:crossAx val="51930813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XO Thames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816120</xdr:colOff>
      <xdr:row>8</xdr:row>
      <xdr:rowOff>76320</xdr:rowOff>
    </xdr:from>
    <xdr:to>
      <xdr:col>13</xdr:col>
      <xdr:colOff>313560</xdr:colOff>
      <xdr:row>27</xdr:row>
      <xdr:rowOff>27360</xdr:rowOff>
    </xdr:to>
    <xdr:graphicFrame>
      <xdr:nvGraphicFramePr>
        <xdr:cNvPr id="0" name="Chart 1"/>
        <xdr:cNvGraphicFramePr/>
      </xdr:nvGraphicFramePr>
      <xdr:xfrm>
        <a:off x="816120" y="1600200"/>
        <a:ext cx="10187640" cy="35708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XO Thames" pitchFamily="0" charset="1"/>
        <a:ea typeface=""/>
        <a:cs typeface=""/>
      </a:majorFont>
      <a:minorFont>
        <a:latin typeface="XO Thames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63000"/>
              </a:schemeClr>
            </a:gs>
            <a:gs pos="100000">
              <a:schemeClr val="phClr">
                <a:tint val="85000"/>
              </a:schemeClr>
            </a:gs>
          </a:gsLst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tileRect l="0" t="0" r="0" b="0"/>
        </a:gradFill>
      </a:fillStyleLst>
      <a:lnStyleLst>
        <a:ln w="6350">
          <a:prstDash val="solid"/>
        </a:ln>
        <a:ln w="12700">
          <a:prstDash val="solid"/>
        </a:ln>
        <a:ln w="1905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60000"/>
              </a:schemeClr>
            </a:gs>
            <a:gs pos="40000">
              <a:schemeClr val="phClr">
                <a:tint val="5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tileRect l="0" t="0" r="0" b="0"/>
        </a:gradFill>
        <a:gradFill>
          <a:gsLst>
            <a:gs pos="0">
              <a:schemeClr val="phClr">
                <a:tint val="20000"/>
              </a:schemeClr>
            </a:gs>
            <a:gs pos="100000">
              <a:schemeClr val="phClr">
                <a:shade val="30000"/>
              </a:schemeClr>
            </a:gs>
          </a:gsLst>
          <a:tileRect l="0" t="0" r="0" b="0"/>
        </a:gradFill>
      </a:bgFillStyleLst>
    </a:fmtScheme>
  </a:themeElements>
</a:theme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79296875" defaultRowHeight="15" zeroHeight="false" outlineLevelRow="0" outlineLevelCol="0"/>
  <cols>
    <col collapsed="false" customWidth="true" hidden="false" outlineLevel="0" max="1" min="1" style="1" width="26.06"/>
    <col collapsed="false" customWidth="false" hidden="false" outlineLevel="0" max="16384" min="2" style="1" width="10.79"/>
  </cols>
  <sheetData>
    <row r="1" customFormat="false" ht="15" hidden="false" customHeight="false" outlineLevel="0" collapsed="false">
      <c r="A1" s="2" t="s">
        <v>0</v>
      </c>
      <c r="B1" s="2" t="s">
        <v>1</v>
      </c>
    </row>
    <row r="2" customFormat="false" ht="15" hidden="false" customHeight="false" outlineLevel="0" collapsed="false">
      <c r="A2" s="2" t="n">
        <v>0</v>
      </c>
      <c r="B2" s="2" t="n">
        <f aca="false">2^(A2+1)-1</f>
        <v>1</v>
      </c>
    </row>
    <row r="3" customFormat="false" ht="15" hidden="false" customHeight="false" outlineLevel="0" collapsed="false">
      <c r="A3" s="2" t="n">
        <v>1</v>
      </c>
      <c r="B3" s="2" t="n">
        <f aca="false">2^(A3+1)-1</f>
        <v>3</v>
      </c>
    </row>
    <row r="4" customFormat="false" ht="15" hidden="false" customHeight="false" outlineLevel="0" collapsed="false">
      <c r="A4" s="2" t="n">
        <v>2</v>
      </c>
      <c r="B4" s="2" t="n">
        <f aca="false">2^(A4+1)-1</f>
        <v>7</v>
      </c>
    </row>
    <row r="5" customFormat="false" ht="15" hidden="false" customHeight="false" outlineLevel="0" collapsed="false">
      <c r="A5" s="2" t="n">
        <v>3</v>
      </c>
      <c r="B5" s="2" t="n">
        <f aca="false">2^(A5+1)-1</f>
        <v>15</v>
      </c>
    </row>
    <row r="6" customFormat="false" ht="15" hidden="false" customHeight="false" outlineLevel="0" collapsed="false">
      <c r="A6" s="2" t="n">
        <v>4</v>
      </c>
      <c r="B6" s="2" t="n">
        <f aca="false">2^(A6+1)-1</f>
        <v>31</v>
      </c>
    </row>
    <row r="7" customFormat="false" ht="15" hidden="false" customHeight="false" outlineLevel="0" collapsed="false">
      <c r="A7" s="2" t="n">
        <v>5</v>
      </c>
      <c r="B7" s="2" t="n">
        <f aca="false">2^(A7+1)-1</f>
        <v>63</v>
      </c>
    </row>
    <row r="8" customFormat="false" ht="15" hidden="false" customHeight="false" outlineLevel="0" collapsed="false">
      <c r="A8" s="2" t="n">
        <v>6</v>
      </c>
      <c r="B8" s="2" t="n">
        <f aca="false">2^(A8+1)-1</f>
        <v>127</v>
      </c>
    </row>
    <row r="9" customFormat="false" ht="15" hidden="false" customHeight="false" outlineLevel="0" collapsed="false">
      <c r="A9" s="2" t="n">
        <v>7</v>
      </c>
      <c r="B9" s="2" t="n">
        <f aca="false">2^(A9+1)-1</f>
        <v>255</v>
      </c>
    </row>
    <row r="10" customFormat="false" ht="15" hidden="false" customHeight="false" outlineLevel="0" collapsed="false">
      <c r="A10" s="2" t="n">
        <v>8</v>
      </c>
      <c r="B10" s="2" t="n">
        <f aca="false">2^(A10+1)-1</f>
        <v>511</v>
      </c>
    </row>
    <row r="11" customFormat="false" ht="15" hidden="false" customHeight="false" outlineLevel="0" collapsed="false">
      <c r="A11" s="2" t="n">
        <v>9</v>
      </c>
      <c r="B11" s="2" t="n">
        <f aca="false">2^(A11+1)-1</f>
        <v>1023</v>
      </c>
    </row>
    <row r="12" customFormat="false" ht="15" hidden="false" customHeight="false" outlineLevel="0" collapsed="false">
      <c r="A12" s="2" t="n">
        <v>10</v>
      </c>
      <c r="B12" s="2" t="n">
        <f aca="false">2^(A12+1)-1</f>
        <v>2047</v>
      </c>
    </row>
    <row r="13" customFormat="false" ht="15" hidden="false" customHeight="false" outlineLevel="0" collapsed="false">
      <c r="A13" s="2" t="n">
        <v>11</v>
      </c>
      <c r="B13" s="2" t="n">
        <f aca="false">2^(A13+1)-1</f>
        <v>4095</v>
      </c>
    </row>
    <row r="14" customFormat="false" ht="15" hidden="false" customHeight="false" outlineLevel="0" collapsed="false">
      <c r="A14" s="2" t="n">
        <v>12</v>
      </c>
      <c r="B14" s="2" t="n">
        <f aca="false">2^(A14+1)-1</f>
        <v>8191</v>
      </c>
    </row>
    <row r="15" customFormat="false" ht="15" hidden="false" customHeight="false" outlineLevel="0" collapsed="false">
      <c r="A15" s="2" t="n">
        <v>13</v>
      </c>
      <c r="B15" s="2" t="n">
        <f aca="false">2^(A15+1)-1</f>
        <v>16383</v>
      </c>
    </row>
    <row r="16" customFormat="false" ht="15" hidden="false" customHeight="false" outlineLevel="0" collapsed="false">
      <c r="A16" s="2" t="n">
        <v>14</v>
      </c>
      <c r="B16" s="2" t="n">
        <f aca="false">2^(A16+1)-1</f>
        <v>32767</v>
      </c>
    </row>
    <row r="17" customFormat="false" ht="15" hidden="false" customHeight="false" outlineLevel="0" collapsed="false">
      <c r="A17" s="2" t="n">
        <v>15</v>
      </c>
      <c r="B17" s="2" t="n">
        <f aca="false">2^(A17+1)-1</f>
        <v>65535</v>
      </c>
    </row>
    <row r="18" customFormat="false" ht="15" hidden="false" customHeight="false" outlineLevel="0" collapsed="false">
      <c r="A18" s="2" t="n">
        <v>16</v>
      </c>
      <c r="B18" s="2" t="n">
        <f aca="false">2^(A18+1)-1</f>
        <v>131071</v>
      </c>
    </row>
    <row r="19" customFormat="false" ht="15" hidden="false" customHeight="false" outlineLevel="0" collapsed="false">
      <c r="A19" s="2" t="n">
        <v>17</v>
      </c>
      <c r="B19" s="2" t="n">
        <f aca="false">2^(A19+1)-1</f>
        <v>262143</v>
      </c>
    </row>
    <row r="20" customFormat="false" ht="15" hidden="false" customHeight="false" outlineLevel="0" collapsed="false">
      <c r="A20" s="2" t="n">
        <v>18</v>
      </c>
      <c r="B20" s="2" t="n">
        <f aca="false">2^(A20+1)-1</f>
        <v>524287</v>
      </c>
    </row>
    <row r="21" customFormat="false" ht="15" hidden="false" customHeight="false" outlineLevel="0" collapsed="false">
      <c r="A21" s="2" t="n">
        <v>19</v>
      </c>
      <c r="B21" s="2" t="n">
        <f aca="false">2^(A21+1)-1</f>
        <v>1048575</v>
      </c>
    </row>
    <row r="22" customFormat="false" ht="15" hidden="false" customHeight="false" outlineLevel="0" collapsed="false">
      <c r="A22" s="2" t="n">
        <v>20</v>
      </c>
      <c r="B22" s="2" t="n">
        <f aca="false">2^(A22+1)-1</f>
        <v>2097151</v>
      </c>
    </row>
    <row r="23" customFormat="false" ht="15" hidden="false" customHeight="false" outlineLevel="0" collapsed="false">
      <c r="A23" s="2" t="n">
        <v>21</v>
      </c>
      <c r="B23" s="2" t="n">
        <f aca="false">2^(A23+1)-1</f>
        <v>4194303</v>
      </c>
    </row>
    <row r="24" customFormat="false" ht="15" hidden="false" customHeight="false" outlineLevel="0" collapsed="false">
      <c r="A24" s="2" t="n">
        <v>22</v>
      </c>
      <c r="B24" s="2" t="n">
        <f aca="false">2^(A24+1)-1</f>
        <v>8388607</v>
      </c>
    </row>
    <row r="25" customFormat="false" ht="15" hidden="false" customHeight="false" outlineLevel="0" collapsed="false">
      <c r="A25" s="2" t="n">
        <v>23</v>
      </c>
      <c r="B25" s="2" t="n">
        <f aca="false">2^(A25+1)-1</f>
        <v>16777215</v>
      </c>
    </row>
  </sheetData>
  <printOptions headings="false" gridLines="false" gridLinesSet="true" horizontalCentered="false" verticalCentered="false"/>
  <pageMargins left="0.590277777777778" right="0.590277777777778" top="0.590277777777778" bottom="0.59027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79296875" defaultRowHeight="15" zeroHeight="false" outlineLevelRow="0" outlineLevelCol="0"/>
  <cols>
    <col collapsed="false" customWidth="true" hidden="false" outlineLevel="0" max="1" min="1" style="3" width="26.88"/>
    <col collapsed="false" customWidth="true" hidden="false" outlineLevel="0" max="2" min="2" style="3" width="12.42"/>
  </cols>
  <sheetData>
    <row r="1" customFormat="false" ht="15" hidden="false" customHeight="false" outlineLevel="0" collapsed="false">
      <c r="A1" s="2" t="s">
        <v>0</v>
      </c>
      <c r="B1" s="2" t="s">
        <v>1</v>
      </c>
    </row>
    <row r="2" customFormat="false" ht="15" hidden="false" customHeight="false" outlineLevel="0" collapsed="false">
      <c r="A2" s="2" t="n">
        <v>0</v>
      </c>
      <c r="B2" s="2" t="n">
        <f aca="false">(3^(A2+1)-1)/2</f>
        <v>1</v>
      </c>
    </row>
    <row r="3" customFormat="false" ht="15" hidden="false" customHeight="false" outlineLevel="0" collapsed="false">
      <c r="A3" s="2" t="n">
        <v>1</v>
      </c>
      <c r="B3" s="2" t="n">
        <f aca="false">(3^(A3+1)-1)/2</f>
        <v>4</v>
      </c>
    </row>
    <row r="4" customFormat="false" ht="15" hidden="false" customHeight="false" outlineLevel="0" collapsed="false">
      <c r="A4" s="2" t="n">
        <v>2</v>
      </c>
      <c r="B4" s="2" t="n">
        <f aca="false">(3^(A4+1)-1)/2</f>
        <v>13</v>
      </c>
    </row>
    <row r="5" customFormat="false" ht="15" hidden="false" customHeight="false" outlineLevel="0" collapsed="false">
      <c r="A5" s="2" t="n">
        <v>3</v>
      </c>
      <c r="B5" s="2" t="n">
        <f aca="false">(3^(A5+1)-1)/2</f>
        <v>40</v>
      </c>
    </row>
    <row r="6" customFormat="false" ht="15" hidden="false" customHeight="false" outlineLevel="0" collapsed="false">
      <c r="A6" s="2" t="n">
        <v>4</v>
      </c>
      <c r="B6" s="2" t="n">
        <f aca="false">(3^(A6+1)-1)/2</f>
        <v>121</v>
      </c>
    </row>
    <row r="7" customFormat="false" ht="15" hidden="false" customHeight="false" outlineLevel="0" collapsed="false">
      <c r="A7" s="2" t="n">
        <v>5</v>
      </c>
      <c r="B7" s="2" t="n">
        <f aca="false">(3^(A7+1)-1)/2</f>
        <v>364</v>
      </c>
    </row>
    <row r="8" customFormat="false" ht="15" hidden="false" customHeight="false" outlineLevel="0" collapsed="false">
      <c r="A8" s="2" t="n">
        <v>6</v>
      </c>
      <c r="B8" s="2" t="n">
        <f aca="false">(3^(A8+1)-1)/2</f>
        <v>1093</v>
      </c>
    </row>
    <row r="9" customFormat="false" ht="15" hidden="false" customHeight="false" outlineLevel="0" collapsed="false">
      <c r="A9" s="2" t="n">
        <v>7</v>
      </c>
      <c r="B9" s="2" t="n">
        <f aca="false">(3^(A9+1)-1)/2</f>
        <v>3280</v>
      </c>
    </row>
    <row r="10" customFormat="false" ht="15" hidden="false" customHeight="false" outlineLevel="0" collapsed="false">
      <c r="A10" s="2" t="n">
        <v>8</v>
      </c>
      <c r="B10" s="2" t="n">
        <f aca="false">(3^(A10+1)-1)/2</f>
        <v>9841</v>
      </c>
    </row>
    <row r="11" customFormat="false" ht="15" hidden="false" customHeight="false" outlineLevel="0" collapsed="false">
      <c r="A11" s="2" t="n">
        <v>9</v>
      </c>
      <c r="B11" s="2" t="n">
        <f aca="false">(3^(A11+1)-1)/2</f>
        <v>29524</v>
      </c>
    </row>
    <row r="12" customFormat="false" ht="15" hidden="false" customHeight="false" outlineLevel="0" collapsed="false">
      <c r="A12" s="2" t="n">
        <v>10</v>
      </c>
      <c r="B12" s="2" t="n">
        <f aca="false">(3^(A12+1)-1)/2</f>
        <v>88573</v>
      </c>
    </row>
    <row r="13" customFormat="false" ht="15" hidden="false" customHeight="false" outlineLevel="0" collapsed="false">
      <c r="A13" s="2" t="n">
        <v>11</v>
      </c>
      <c r="B13" s="2" t="n">
        <f aca="false">(3^(A13+1)-1)/2</f>
        <v>265720</v>
      </c>
    </row>
    <row r="14" customFormat="false" ht="15" hidden="false" customHeight="false" outlineLevel="0" collapsed="false">
      <c r="A14" s="2" t="n">
        <v>12</v>
      </c>
      <c r="B14" s="2" t="n">
        <f aca="false">(3^(A14+1)-1)/2</f>
        <v>797161</v>
      </c>
    </row>
    <row r="15" customFormat="false" ht="15" hidden="false" customHeight="false" outlineLevel="0" collapsed="false">
      <c r="A15" s="2" t="n">
        <v>13</v>
      </c>
      <c r="B15" s="2" t="n">
        <f aca="false">(3^(A15+1)-1)/2</f>
        <v>2391484</v>
      </c>
    </row>
    <row r="16" customFormat="false" ht="15" hidden="false" customHeight="false" outlineLevel="0" collapsed="false">
      <c r="A16" s="2" t="n">
        <v>14</v>
      </c>
      <c r="B16" s="2" t="n">
        <f aca="false">(3^(A16+1)-1)/2</f>
        <v>7174453</v>
      </c>
    </row>
    <row r="17" customFormat="false" ht="15" hidden="false" customHeight="false" outlineLevel="0" collapsed="false">
      <c r="A17" s="2" t="n">
        <v>15</v>
      </c>
      <c r="B17" s="2" t="n">
        <f aca="false">(3^(A17+1)-1)/2</f>
        <v>21523360</v>
      </c>
    </row>
    <row r="18" customFormat="false" ht="15" hidden="false" customHeight="false" outlineLevel="0" collapsed="false">
      <c r="A18" s="2" t="n">
        <v>16</v>
      </c>
      <c r="B18" s="2" t="n">
        <f aca="false">(3^(A18+1)-1)/2</f>
        <v>64570081</v>
      </c>
    </row>
    <row r="19" customFormat="false" ht="15" hidden="false" customHeight="false" outlineLevel="0" collapsed="false">
      <c r="A19" s="2" t="n">
        <v>17</v>
      </c>
      <c r="B19" s="2" t="n">
        <f aca="false">(3^(A19+1)-1)/2</f>
        <v>193710244</v>
      </c>
    </row>
    <row r="20" customFormat="false" ht="15" hidden="false" customHeight="false" outlineLevel="0" collapsed="false">
      <c r="A20" s="2" t="n">
        <v>18</v>
      </c>
      <c r="B20" s="2" t="n">
        <f aca="false">(3^(A20+1)-1)/2</f>
        <v>581130733</v>
      </c>
    </row>
    <row r="21" customFormat="false" ht="15" hidden="false" customHeight="false" outlineLevel="0" collapsed="false">
      <c r="A21" s="2" t="n">
        <v>19</v>
      </c>
      <c r="B21" s="2" t="n">
        <f aca="false">(3^(A21+1)-1)/2</f>
        <v>1743392200</v>
      </c>
    </row>
    <row r="22" customFormat="false" ht="15" hidden="false" customHeight="false" outlineLevel="0" collapsed="false">
      <c r="A22" s="2" t="n">
        <v>20</v>
      </c>
      <c r="B22" s="2" t="n">
        <f aca="false">(3^(A22+1)-1)/2</f>
        <v>5230176601</v>
      </c>
    </row>
    <row r="23" customFormat="false" ht="15" hidden="false" customHeight="false" outlineLevel="0" collapsed="false">
      <c r="A23" s="2" t="n">
        <v>21</v>
      </c>
      <c r="B23" s="2" t="n">
        <f aca="false">(3^(A23+1)-1)/2</f>
        <v>15690529804</v>
      </c>
    </row>
    <row r="24" customFormat="false" ht="15" hidden="false" customHeight="false" outlineLevel="0" collapsed="false">
      <c r="A24" s="2" t="n">
        <v>22</v>
      </c>
      <c r="B24" s="2" t="n">
        <f aca="false">(3^(A24+1)-1)/2</f>
        <v>47071589413</v>
      </c>
    </row>
    <row r="25" customFormat="false" ht="15" hidden="false" customHeight="false" outlineLevel="0" collapsed="false">
      <c r="A25" s="2" t="n">
        <v>23</v>
      </c>
      <c r="B25" s="2" t="n">
        <f aca="false">(3^(A25+1)-1)/2</f>
        <v>141214768240</v>
      </c>
    </row>
  </sheetData>
  <printOptions headings="false" gridLines="false" gridLinesSet="true" horizontalCentered="false" verticalCentered="false"/>
  <pageMargins left="0.590277777777778" right="0.590277777777778" top="0.590277777777778" bottom="0.59027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7" activeCellId="0" sqref="C17"/>
    </sheetView>
  </sheetViews>
  <sheetFormatPr defaultColWidth="10.79296875" defaultRowHeight="15" zeroHeight="false" outlineLevelRow="0" outlineLevelCol="0"/>
  <cols>
    <col collapsed="false" customWidth="true" hidden="false" outlineLevel="0" max="1" min="1" style="3" width="32.06"/>
    <col collapsed="false" customWidth="true" hidden="false" outlineLevel="0" max="2" min="2" style="3" width="12.24"/>
    <col collapsed="false" customWidth="true" hidden="false" outlineLevel="0" max="3" min="3" style="3" width="12.14"/>
  </cols>
  <sheetData>
    <row r="1" customFormat="false" ht="33" hidden="false" customHeight="true" outlineLevel="0" collapsed="false">
      <c r="A1" s="2" t="s">
        <v>2</v>
      </c>
      <c r="B1" s="4" t="s">
        <v>3</v>
      </c>
      <c r="C1" s="4" t="s">
        <v>4</v>
      </c>
    </row>
    <row r="2" customFormat="false" ht="15" hidden="false" customHeight="false" outlineLevel="0" collapsed="false">
      <c r="A2" s="2" t="n">
        <v>0</v>
      </c>
      <c r="B2" s="2" t="n">
        <f aca="false">VLOOKUP(A2, Лист1!$A$2:$B$25, 2, 0)</f>
        <v>1</v>
      </c>
      <c r="C2" s="2" t="n">
        <f aca="false">VLOOKUP(A2, Лист2!$A$2:$B$25, 2, 0)</f>
        <v>1</v>
      </c>
    </row>
    <row r="3" customFormat="false" ht="15" hidden="false" customHeight="false" outlineLevel="0" collapsed="false">
      <c r="A3" s="2" t="n">
        <v>1</v>
      </c>
      <c r="B3" s="2" t="n">
        <f aca="false">VLOOKUP(A3, Лист1!$A$2:$B$25, 2, 0)</f>
        <v>3</v>
      </c>
      <c r="C3" s="2" t="n">
        <f aca="false">VLOOKUP(A3, Лист2!$A$2:$B$25, 2, 0)</f>
        <v>4</v>
      </c>
    </row>
    <row r="4" customFormat="false" ht="15" hidden="false" customHeight="false" outlineLevel="0" collapsed="false">
      <c r="A4" s="2" t="n">
        <v>2</v>
      </c>
      <c r="B4" s="2" t="n">
        <f aca="false">VLOOKUP(A4, Лист1!$A$2:$B$25, 2, 0)</f>
        <v>7</v>
      </c>
      <c r="C4" s="2" t="n">
        <f aca="false">VLOOKUP(A4, Лист2!$A$2:$B$25, 2, 0)</f>
        <v>13</v>
      </c>
    </row>
    <row r="5" customFormat="false" ht="15" hidden="false" customHeight="false" outlineLevel="0" collapsed="false">
      <c r="A5" s="2" t="n">
        <v>3</v>
      </c>
      <c r="B5" s="2" t="n">
        <f aca="false">VLOOKUP(A5, Лист1!$A$2:$B$25, 2, 0)</f>
        <v>15</v>
      </c>
      <c r="C5" s="2" t="n">
        <f aca="false">VLOOKUP(A5, Лист2!$A$2:$B$25, 2, 0)</f>
        <v>40</v>
      </c>
    </row>
    <row r="6" customFormat="false" ht="15" hidden="false" customHeight="false" outlineLevel="0" collapsed="false">
      <c r="A6" s="2" t="n">
        <v>4</v>
      </c>
      <c r="B6" s="2" t="n">
        <f aca="false">VLOOKUP(A6, Лист1!$A$2:$B$25, 2, 0)</f>
        <v>31</v>
      </c>
      <c r="C6" s="2" t="n">
        <f aca="false">VLOOKUP(A6, Лист2!$A$2:$B$25, 2, 0)</f>
        <v>121</v>
      </c>
    </row>
    <row r="7" customFormat="false" ht="15" hidden="false" customHeight="false" outlineLevel="0" collapsed="false">
      <c r="A7" s="2" t="n">
        <v>5</v>
      </c>
      <c r="B7" s="2" t="n">
        <f aca="false">VLOOKUP(A7, Лист1!$A$2:$B$25, 2, 0)</f>
        <v>63</v>
      </c>
      <c r="C7" s="2" t="n">
        <f aca="false">VLOOKUP(A7, Лист2!$A$2:$B$25, 2, 0)</f>
        <v>364</v>
      </c>
    </row>
    <row r="8" customFormat="false" ht="15" hidden="false" customHeight="false" outlineLevel="0" collapsed="false">
      <c r="A8" s="2" t="n">
        <v>6</v>
      </c>
      <c r="B8" s="2" t="n">
        <f aca="false">VLOOKUP(A8, Лист1!$A$2:$B$25, 2, 0)</f>
        <v>127</v>
      </c>
      <c r="C8" s="2" t="n">
        <f aca="false">VLOOKUP(A8, Лист2!$A$2:$B$25, 2, 0)</f>
        <v>1093</v>
      </c>
    </row>
    <row r="9" customFormat="false" ht="15" hidden="false" customHeight="false" outlineLevel="0" collapsed="false">
      <c r="A9" s="2" t="n">
        <v>7</v>
      </c>
      <c r="B9" s="2" t="n">
        <f aca="false">VLOOKUP(A9, Лист1!$A$2:$B$25, 2, 0)</f>
        <v>255</v>
      </c>
      <c r="C9" s="2" t="n">
        <f aca="false">VLOOKUP(A9, Лист2!$A$2:$B$25, 2, 0)</f>
        <v>3280</v>
      </c>
    </row>
    <row r="10" customFormat="false" ht="15" hidden="false" customHeight="false" outlineLevel="0" collapsed="false">
      <c r="A10" s="2" t="n">
        <v>8</v>
      </c>
      <c r="B10" s="2" t="n">
        <f aca="false">VLOOKUP(A10, Лист1!$A$2:$B$25, 2, 0)</f>
        <v>511</v>
      </c>
      <c r="C10" s="2" t="n">
        <f aca="false">VLOOKUP(A10, Лист2!$A$2:$B$25, 2, 0)</f>
        <v>9841</v>
      </c>
    </row>
    <row r="11" customFormat="false" ht="15" hidden="false" customHeight="false" outlineLevel="0" collapsed="false">
      <c r="A11" s="2" t="n">
        <v>9</v>
      </c>
      <c r="B11" s="2" t="n">
        <f aca="false">VLOOKUP(A11, Лист1!$A$2:$B$25, 2, 0)</f>
        <v>1023</v>
      </c>
      <c r="C11" s="2" t="n">
        <f aca="false">VLOOKUP(A11, Лист2!$A$2:$B$25, 2, 0)</f>
        <v>29524</v>
      </c>
    </row>
    <row r="12" customFormat="false" ht="15" hidden="false" customHeight="false" outlineLevel="0" collapsed="false">
      <c r="A12" s="2" t="n">
        <v>10</v>
      </c>
      <c r="B12" s="2" t="n">
        <f aca="false">VLOOKUP(A12, Лист1!$A$2:$B$25, 2, 0)</f>
        <v>2047</v>
      </c>
      <c r="C12" s="2" t="n">
        <f aca="false">VLOOKUP(A12, Лист2!$A$2:$B$25, 2, 0)</f>
        <v>88573</v>
      </c>
    </row>
    <row r="13" customFormat="false" ht="15" hidden="false" customHeight="false" outlineLevel="0" collapsed="false">
      <c r="A13" s="2" t="n">
        <v>11</v>
      </c>
      <c r="B13" s="2" t="n">
        <f aca="false">VLOOKUP(A13, Лист1!$A$2:$B$25, 2, 0)</f>
        <v>4095</v>
      </c>
      <c r="C13" s="2" t="n">
        <f aca="false">VLOOKUP(A13, Лист2!$A$2:$B$25, 2, 0)</f>
        <v>265720</v>
      </c>
    </row>
    <row r="14" customFormat="false" ht="15" hidden="false" customHeight="false" outlineLevel="0" collapsed="false">
      <c r="A14" s="2" t="n">
        <v>12</v>
      </c>
      <c r="B14" s="2" t="n">
        <f aca="false">VLOOKUP(A14, Лист1!$A$2:$B$25, 2, 0)</f>
        <v>8191</v>
      </c>
      <c r="C14" s="2" t="n">
        <f aca="false">VLOOKUP(A14, Лист2!$A$2:$B$25, 2, 0)</f>
        <v>797161</v>
      </c>
    </row>
    <row r="15" customFormat="false" ht="15" hidden="false" customHeight="false" outlineLevel="0" collapsed="false">
      <c r="A15" s="2" t="n">
        <v>13</v>
      </c>
      <c r="B15" s="2" t="n">
        <f aca="false">VLOOKUP(A15, Лист1!$A$2:$B$25, 2, 0)</f>
        <v>16383</v>
      </c>
      <c r="C15" s="2" t="n">
        <f aca="false">VLOOKUP(A15, Лист2!$A$2:$B$25, 2, 0)</f>
        <v>2391484</v>
      </c>
    </row>
    <row r="16" customFormat="false" ht="15" hidden="false" customHeight="false" outlineLevel="0" collapsed="false">
      <c r="A16" s="2" t="n">
        <v>14</v>
      </c>
      <c r="B16" s="2" t="n">
        <f aca="false">VLOOKUP(A16, Лист1!$A$2:$B$25, 2, 0)</f>
        <v>32767</v>
      </c>
      <c r="C16" s="2" t="n">
        <f aca="false">VLOOKUP(A16, Лист2!$A$2:$B$25, 2, 0)</f>
        <v>7174453</v>
      </c>
    </row>
    <row r="17" customFormat="false" ht="15" hidden="false" customHeight="false" outlineLevel="0" collapsed="false">
      <c r="A17" s="2" t="n">
        <v>15</v>
      </c>
      <c r="B17" s="2" t="n">
        <f aca="false">VLOOKUP(A17, Лист1!$A$2:$B$25, 2, 0)</f>
        <v>65535</v>
      </c>
      <c r="C17" s="2" t="n">
        <f aca="false">VLOOKUP(A17, Лист2!$A$2:$B$25, 2, 0)</f>
        <v>21523360</v>
      </c>
    </row>
    <row r="18" customFormat="false" ht="15" hidden="false" customHeight="false" outlineLevel="0" collapsed="false">
      <c r="A18" s="2" t="n">
        <v>16</v>
      </c>
      <c r="B18" s="2" t="n">
        <f aca="false">VLOOKUP(A18, Лист1!$A$2:$B$25, 2, 0)</f>
        <v>131071</v>
      </c>
      <c r="C18" s="2" t="n">
        <f aca="false">VLOOKUP(A18, Лист2!$A$2:$B$25, 2, 0)</f>
        <v>64570081</v>
      </c>
    </row>
    <row r="19" customFormat="false" ht="15" hidden="false" customHeight="false" outlineLevel="0" collapsed="false">
      <c r="A19" s="2" t="n">
        <v>17</v>
      </c>
      <c r="B19" s="2" t="n">
        <f aca="false">VLOOKUP(A19, Лист1!$A$2:$B$25, 2, 0)</f>
        <v>262143</v>
      </c>
      <c r="C19" s="2" t="n">
        <f aca="false">VLOOKUP(A19, Лист2!$A$2:$B$25, 2, 0)</f>
        <v>193710244</v>
      </c>
    </row>
    <row r="20" customFormat="false" ht="15" hidden="false" customHeight="false" outlineLevel="0" collapsed="false">
      <c r="A20" s="2" t="n">
        <v>18</v>
      </c>
      <c r="B20" s="2" t="n">
        <f aca="false">VLOOKUP(A20, Лист1!$A$2:$B$25, 2, 0)</f>
        <v>524287</v>
      </c>
      <c r="C20" s="2" t="n">
        <f aca="false">VLOOKUP(A20, Лист2!$A$2:$B$25, 2, 0)</f>
        <v>581130733</v>
      </c>
    </row>
    <row r="21" customFormat="false" ht="15" hidden="false" customHeight="false" outlineLevel="0" collapsed="false">
      <c r="A21" s="2" t="n">
        <v>19</v>
      </c>
      <c r="B21" s="2" t="n">
        <f aca="false">VLOOKUP(A21, Лист1!$A$2:$B$25, 2, 0)</f>
        <v>1048575</v>
      </c>
      <c r="C21" s="2" t="n">
        <f aca="false">VLOOKUP(A21, Лист2!$A$2:$B$25, 2, 0)</f>
        <v>1743392200</v>
      </c>
    </row>
    <row r="22" customFormat="false" ht="15" hidden="false" customHeight="false" outlineLevel="0" collapsed="false">
      <c r="A22" s="2" t="n">
        <v>20</v>
      </c>
      <c r="B22" s="2" t="n">
        <f aca="false">VLOOKUP(A22, Лист1!$A$2:$B$25, 2, 0)</f>
        <v>2097151</v>
      </c>
      <c r="C22" s="2" t="n">
        <f aca="false">VLOOKUP(A22, Лист2!$A$2:$B$25, 2, 0)</f>
        <v>5230176601</v>
      </c>
    </row>
    <row r="23" customFormat="false" ht="15" hidden="false" customHeight="false" outlineLevel="0" collapsed="false">
      <c r="A23" s="2" t="n">
        <v>21</v>
      </c>
      <c r="B23" s="2" t="n">
        <f aca="false">VLOOKUP(A23, Лист1!$A$2:$B$25, 2, 0)</f>
        <v>4194303</v>
      </c>
      <c r="C23" s="2" t="n">
        <f aca="false">VLOOKUP(A23, Лист2!$A$2:$B$25, 2, 0)</f>
        <v>15690529804</v>
      </c>
    </row>
    <row r="24" customFormat="false" ht="15" hidden="false" customHeight="false" outlineLevel="0" collapsed="false">
      <c r="A24" s="2" t="n">
        <v>22</v>
      </c>
      <c r="B24" s="2" t="n">
        <f aca="false">VLOOKUP(A24, Лист1!$A$2:$B$25, 2, 0)</f>
        <v>8388607</v>
      </c>
      <c r="C24" s="2" t="n">
        <f aca="false">VLOOKUP(A24, Лист2!$A$2:$B$25, 2, 0)</f>
        <v>47071589413</v>
      </c>
    </row>
    <row r="25" customFormat="false" ht="15" hidden="false" customHeight="false" outlineLevel="0" collapsed="false">
      <c r="A25" s="2" t="n">
        <v>23</v>
      </c>
      <c r="B25" s="2" t="n">
        <f aca="false">VLOOKUP(A25, Лист1!$A$2:$B$25, 2, 0)</f>
        <v>16777215</v>
      </c>
      <c r="C25" s="2" t="n">
        <f aca="false">VLOOKUP(A25, Лист2!$A$2:$B$25, 2, 0)</f>
        <v>141214768240</v>
      </c>
    </row>
  </sheetData>
  <printOptions headings="false" gridLines="false" gridLinesSet="true" horizontalCentered="false" verticalCentered="false"/>
  <pageMargins left="0.590277777777778" right="0.590277777777778" top="0.590277777777778" bottom="0.59027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1" activeCellId="0" sqref="E1"/>
    </sheetView>
  </sheetViews>
  <sheetFormatPr defaultColWidth="10.79296875" defaultRowHeight="15" zeroHeight="false" outlineLevelRow="0" outlineLevelCol="0"/>
  <cols>
    <col collapsed="false" customWidth="true" hidden="false" outlineLevel="0" max="1" min="1" style="3" width="25.81"/>
    <col collapsed="false" customWidth="true" hidden="false" outlineLevel="0" max="2" min="2" style="3" width="14.9"/>
    <col collapsed="false" customWidth="true" hidden="false" outlineLevel="0" max="3" min="3" style="3" width="15.03"/>
    <col collapsed="false" customWidth="true" hidden="false" outlineLevel="0" max="4" min="4" style="3" width="15.17"/>
  </cols>
  <sheetData>
    <row r="1" customFormat="false" ht="15" hidden="false" customHeight="false" outlineLevel="0" collapsed="false">
      <c r="A1" s="4" t="s">
        <v>5</v>
      </c>
      <c r="B1" s="4" t="s">
        <v>6</v>
      </c>
      <c r="C1" s="4" t="s">
        <v>7</v>
      </c>
      <c r="D1" s="4" t="s">
        <v>8</v>
      </c>
    </row>
    <row r="2" customFormat="false" ht="15" hidden="false" customHeight="false" outlineLevel="0" collapsed="false">
      <c r="A2" s="2" t="s">
        <v>9</v>
      </c>
      <c r="B2" s="2" t="n">
        <f aca="false">AVERAGE(Лист3!A2:A25)</f>
        <v>11.5</v>
      </c>
      <c r="C2" s="2" t="n">
        <f aca="false">AVERAGE(Лист3!B2:B25)</f>
        <v>1398100.25</v>
      </c>
      <c r="D2" s="2" t="n">
        <f aca="false">AVERAGE(Лист3!C2:C25)</f>
        <v>8825923014.5</v>
      </c>
    </row>
    <row r="3" customFormat="false" ht="15" hidden="false" customHeight="false" outlineLevel="0" collapsed="false">
      <c r="A3" s="2" t="s">
        <v>10</v>
      </c>
      <c r="B3" s="2" t="n">
        <f aca="false">AVERAGE(Лист3!A3:A26)</f>
        <v>12</v>
      </c>
      <c r="C3" s="2" t="n">
        <f aca="false">AVERAGE(Лист3!B3:B26)</f>
        <v>1458887.17391304</v>
      </c>
      <c r="D3" s="2" t="n">
        <f aca="false">AVERAGE(Лист3!C3:C26)</f>
        <v>9209658797.69565</v>
      </c>
    </row>
    <row r="4" customFormat="false" ht="15" hidden="false" customHeight="false" outlineLevel="0" collapsed="false">
      <c r="A4" s="2" t="s">
        <v>11</v>
      </c>
      <c r="B4" s="2" t="n">
        <f aca="false">AVERAGE(Лист3!A4:A27)</f>
        <v>12.5</v>
      </c>
      <c r="C4" s="2" t="n">
        <f aca="false">AVERAGE(Лист3!B4:B27)</f>
        <v>1525200.09090909</v>
      </c>
      <c r="D4" s="2" t="n">
        <f aca="false">AVERAGE(Лист3!C4:C27)</f>
        <v>9628279651.95455</v>
      </c>
    </row>
    <row r="5" customFormat="false" ht="15" hidden="false" customHeight="false" outlineLevel="0" collapsed="false">
      <c r="A5" s="2" t="s">
        <v>12</v>
      </c>
      <c r="B5" s="2" t="n">
        <f aca="false">AVERAGE(Лист3!A5:A28)</f>
        <v>13</v>
      </c>
      <c r="C5" s="2" t="n">
        <f aca="false">AVERAGE(Лист3!B5:B28)</f>
        <v>1597828.33333333</v>
      </c>
      <c r="D5" s="2" t="n">
        <f aca="false">AVERAGE(Лист3!C5:C28)</f>
        <v>10086769158.5714</v>
      </c>
      <c r="F5" s="1"/>
    </row>
    <row r="6" customFormat="false" ht="15" hidden="false" customHeight="false" outlineLevel="0" collapsed="false">
      <c r="A6" s="2" t="s">
        <v>13</v>
      </c>
      <c r="B6" s="2" t="n">
        <f aca="false">AVERAGE(Лист3!A6:A29)</f>
        <v>13.5</v>
      </c>
      <c r="C6" s="2" t="n">
        <f aca="false">AVERAGE(Лист3!B6:B29)</f>
        <v>1677719</v>
      </c>
      <c r="D6" s="2" t="n">
        <f aca="false">AVERAGE(Лист3!C6:C29)</f>
        <v>10591107614.5</v>
      </c>
    </row>
    <row r="7" customFormat="false" ht="15" hidden="false" customHeight="false" outlineLevel="0" collapsed="false">
      <c r="A7" s="2" t="s">
        <v>14</v>
      </c>
      <c r="B7" s="2" t="n">
        <f aca="false">AVERAGE(Лист3!A7:A30)</f>
        <v>14</v>
      </c>
      <c r="C7" s="2" t="n">
        <f aca="false">AVERAGE(Лист3!B7:B30)</f>
        <v>1766018.36842105</v>
      </c>
      <c r="D7" s="2" t="n">
        <f aca="false">AVERAGE(Лист3!C7:C30)</f>
        <v>11148534324.6842</v>
      </c>
    </row>
  </sheetData>
  <printOptions headings="false" gridLines="false" gridLinesSet="true" horizontalCentered="false" verticalCentered="false"/>
  <pageMargins left="0.590277777777778" right="0.590277777777778" top="0.590277777777778" bottom="0.59027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4" activeCellId="0" sqref="D4"/>
    </sheetView>
  </sheetViews>
  <sheetFormatPr defaultColWidth="10.79296875" defaultRowHeight="15" zeroHeight="false" outlineLevelRow="0" outlineLevelCol="0"/>
  <sheetData>
    <row r="1" customFormat="false" ht="15" hidden="false" customHeight="false" outlineLevel="0" collapsed="false">
      <c r="A1" s="5"/>
      <c r="B1" s="5" t="n">
        <v>2021</v>
      </c>
      <c r="C1" s="5" t="n">
        <v>2022</v>
      </c>
      <c r="D1" s="5" t="n">
        <v>2023</v>
      </c>
      <c r="E1" s="5" t="n">
        <v>2024</v>
      </c>
      <c r="F1" s="5" t="n">
        <v>2025</v>
      </c>
      <c r="G1" s="5" t="n">
        <v>2026</v>
      </c>
      <c r="H1" s="5" t="n">
        <v>2027</v>
      </c>
    </row>
    <row r="2" customFormat="false" ht="15" hidden="false" customHeight="false" outlineLevel="0" collapsed="false">
      <c r="A2" s="5" t="s">
        <v>15</v>
      </c>
      <c r="B2" s="5" t="n">
        <v>1510000</v>
      </c>
      <c r="C2" s="5" t="n">
        <v>2236476</v>
      </c>
      <c r="D2" s="5" t="n">
        <v>1934765</v>
      </c>
      <c r="E2" s="5" t="n">
        <v>4543534</v>
      </c>
      <c r="F2" s="5" t="n">
        <v>2348887</v>
      </c>
      <c r="G2" s="5" t="n">
        <v>1170004</v>
      </c>
      <c r="H2" s="5" t="n">
        <v>2344598</v>
      </c>
    </row>
    <row r="3" customFormat="false" ht="15" hidden="false" customHeight="false" outlineLevel="0" collapsed="false">
      <c r="A3" s="5" t="s">
        <v>16</v>
      </c>
      <c r="B3" s="5" t="n">
        <v>237800</v>
      </c>
      <c r="C3" s="5" t="n">
        <v>732647</v>
      </c>
      <c r="D3" s="5" t="n">
        <v>567672</v>
      </c>
      <c r="E3" s="5" t="n">
        <v>234234</v>
      </c>
      <c r="F3" s="5" t="n">
        <v>32317</v>
      </c>
      <c r="G3" s="5" t="n">
        <v>634423</v>
      </c>
      <c r="H3" s="5" t="n">
        <v>235455</v>
      </c>
    </row>
    <row r="4" customFormat="false" ht="15" hidden="false" customHeight="false" outlineLevel="0" collapsed="false">
      <c r="A4" s="5" t="s">
        <v>17</v>
      </c>
      <c r="B4" s="5" t="n">
        <v>3211400</v>
      </c>
      <c r="C4" s="5" t="n">
        <v>4873837</v>
      </c>
      <c r="D4" s="5" t="n">
        <v>36654654</v>
      </c>
      <c r="E4" s="5" t="n">
        <v>3453453</v>
      </c>
      <c r="F4" s="5" t="n">
        <v>5435323</v>
      </c>
      <c r="G4" s="5" t="n">
        <v>4586959</v>
      </c>
      <c r="H4" s="5" t="n">
        <v>8576885</v>
      </c>
    </row>
    <row r="5" customFormat="false" ht="15" hidden="false" customHeight="false" outlineLevel="0" collapsed="false">
      <c r="A5" s="5" t="s">
        <v>18</v>
      </c>
      <c r="B5" s="5" t="n">
        <v>4961201</v>
      </c>
      <c r="C5" s="5" t="n">
        <v>7844962</v>
      </c>
      <c r="D5" s="5" t="n">
        <v>6159094</v>
      </c>
      <c r="E5" s="5" t="n">
        <v>8233225</v>
      </c>
      <c r="F5" s="5" t="n">
        <v>8109432</v>
      </c>
      <c r="G5" s="5" t="n">
        <v>6393392</v>
      </c>
      <c r="H5" s="5" t="n">
        <v>11158945</v>
      </c>
    </row>
    <row r="33" customFormat="false" ht="15" hidden="false" customHeight="false" outlineLevel="0" collapsed="false">
      <c r="G33" s="1"/>
    </row>
  </sheetData>
  <printOptions headings="false" gridLines="false" gridLinesSet="true" horizontalCentered="false" verticalCentered="false"/>
  <pageMargins left="0.590277777777778" right="0.590277777777778" top="0.590277777777778" bottom="0.59027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TotalTime>0</TotalTime>
  <Application>LibreOffice/7.6.7.2$Linux_X86_64 LibreOffice_project/60$Build-2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2026-05-18T09:23:40Z</dcterms:created>
  <dc:creator/>
  <dc:description/>
  <dc:language>ru-RU</dc:language>
  <cp:lastModifiedBy/>
  <dcterms:modified xsi:type="dcterms:W3CDTF">2026-05-18T09:44:21Z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